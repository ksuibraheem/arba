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OVO\Downloads\إنشاء وتجهيز وتأثيث صالة متعددة الأغراض بالمواقع الإدارية بالرياض - قوات الدفاع الجوي\"/>
    </mc:Choice>
  </mc:AlternateContent>
  <xr:revisionPtr revIDLastSave="0" documentId="13_ncr:1_{743BA8C2-097E-4FEE-AFE2-1351DCCF63D5}" xr6:coauthVersionLast="47" xr6:coauthVersionMax="47" xr10:uidLastSave="{00000000-0000-0000-0000-000000000000}"/>
  <bookViews>
    <workbookView xWindow="-108" yWindow="-108" windowWidth="23256" windowHeight="13896" xr2:uid="{00000000-000D-0000-FFFF-FFFF00000000}"/>
  </bookViews>
  <sheets>
    <sheet name="ورقة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2" i="1" l="1"/>
  <c r="J51" i="1"/>
  <c r="J52" i="1"/>
  <c r="J53" i="1"/>
  <c r="J54" i="1"/>
  <c r="J55" i="1"/>
  <c r="J56" i="1"/>
  <c r="J57" i="1"/>
  <c r="J58" i="1"/>
  <c r="J59" i="1"/>
  <c r="J60" i="1"/>
  <c r="J61" i="1"/>
  <c r="J50" i="1"/>
  <c r="J46"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7" i="1"/>
</calcChain>
</file>

<file path=xl/sharedStrings.xml><?xml version="1.0" encoding="utf-8"?>
<sst xmlns="http://schemas.openxmlformats.org/spreadsheetml/2006/main" count="178" uniqueCount="70">
  <si>
    <t>الرقم التسلسلي</t>
  </si>
  <si>
    <t>الفئة</t>
  </si>
  <si>
    <t>البند</t>
  </si>
  <si>
    <t>وحدة القياس</t>
  </si>
  <si>
    <t>الكمية</t>
  </si>
  <si>
    <t>وصف البند</t>
  </si>
  <si>
    <t>المواصفات</t>
  </si>
  <si>
    <t>منتج من القائمة الإلزامية</t>
  </si>
  <si>
    <t>عدد</t>
  </si>
  <si>
    <t>تنظيف الموقع بالكامل مع استخراج اى كابلات قديمة موجودة فى مكان العمل طبقا لتعليمات المهندس المشرف والقيام بعملية التسوية للوصول إلى منسوب التسوية شاملاً القطع من المناطق المرتفعة لأي نوع من التربة والردم في المناطق المنخفضة بتربة منتقاة وخالية من الشوائب والمواد العضوية (إلي 30سم ) على طبقات مع الدك جيداً بطريقة معتمدة مساحة الموقع : 3668 متر مربع .</t>
  </si>
  <si>
    <t>لا</t>
  </si>
  <si>
    <t>متر</t>
  </si>
  <si>
    <t>توريـــد وتركيـب بـــردورات خرســـانيـة مســبقة الصنـع بأبعـاد 150×350×500مم مع كل ما يلزم لإنهاء العمل وذلك للمشايات والأرصفة الخارجية طبقاً للمخططات والعمل يشمل تجهيز الطبقة أسفــل البردورة من الحفــر والخرسانـة العاديـة مع اعمال الدهان وكل ما يلزم طبقا للمخططــات والمواصفات</t>
  </si>
  <si>
    <t>نعم</t>
  </si>
  <si>
    <t>كما بالبند السابق لكن مقاس 100×300×400 مم حول أحواض الزهور</t>
  </si>
  <si>
    <t>م2</t>
  </si>
  <si>
    <t>توريد وتركيب بلاط أنترلوك من الطين الاحمر طبقا للمعتمد على شكل سداسي (شكل خيلة النحل) كما هو موضح بالمخططات شامل جميع الملحقات والتجهيزات اللازمة من الطبقات السفلية ومانع الابخرة وكل مايلزم لإنهاء العمل على الوجة المطلوب طبقاً للمخططات والمواصفات . طبقة خرسانية مع شبكة تسليح سمك 100مم فرشة رملية سمك 50~70مم بلاط من الأنترلوك الاحمر سمك 80 مم .</t>
  </si>
  <si>
    <t>توريد وفرد طبقة من الخرسانة الإسفلتية على تربة مدكوكة حسب المواصفات ويشمل إزالة و نقل المخلفات الموجودة أي كانت و إعداد و تمهيد الطرق طبقا للمناسيب المطلوبة. - توريد و عمل طبقة أساس سمك 200 مم و تشمل أعمال الدمك - رش مادة MCI - توريد و عمل طبقة بتومينية اسفلتية بسمك 60 مم - رش مادة RC2 - توريد و عمل الطبقة السطحية للاسفلت بسمك 40 مم -توريد و عمل الطــلاء لعمــل العلامــات والخطــوط المروريــة اللازمة بالطرق والمواقف باللون الاصفر والأبيض .</t>
  </si>
  <si>
    <t>توريـــد وتركيـب بـــردورات خرســـانيـة مســبقة الصنـع بأبعـاد 150×150×2000مم مع كل ما يلزم لإنهاء العمل وذلك لمواقف السيارات طبقاً للمخططات والعمل يشمل تجهيز الطبقة أسفــل البردورة من الحفــر والخرسانـة العاديـة واعمال الدهان طبقا للمخططــات والمواصفات .</t>
  </si>
  <si>
    <t>توريد وفرد وتجهيز تربة زراعية بسمك 300مم حول المبنى وللمسطحات الخضراء بالموقع مع الفرد والدك وأعمال الزراعة وزراعة الأشجار والورود وأحواض الزهور ومع كل ما يلزم لإنهاء العمل طبقا للمخططات والمواصفات وتعليمات جهه الاشراف وعلي المقاول تقديم كتالوج وعينات للنباتات والأشجار والورود لاعتمادها من جهة الإشراف.</t>
  </si>
  <si>
    <t>تجهيز وتركيب مظلات لمواقف السيارات من القماش أو ماهو مكافئ له كما هو معتمد لمواقف السيارات. مساحة 6.00 م *6.00 م للمظلة الواحدة بعدد (10) مظلات تركب بإرتفاع صافي 2.8متر على ان تكون مفتوحة ومحيطة بكامل محيط الموقف والبند يشمل الحفر والردم والركائز المسلحة للتدعيم والأعمدة المعدنية والدهان وكل مايلزم لإنهاء الأعمال على النحو المطلوب طبقا للمواصفات الفنية والرسومات التوضيحية. على أن يقدم المقاول عينة لإعتماد اللون والخامة.</t>
  </si>
  <si>
    <t>مواسير قطر 25 مم</t>
  </si>
  <si>
    <t>مواسير قطر 32 مم</t>
  </si>
  <si>
    <t>مواسير قطر 50 مم</t>
  </si>
  <si>
    <t>إنشاء صندوق محابس مقاس 600مم×600 مم وأعماق مختلفة حسب الموقع من الخرسانة المسلحة سابقة الصب مع السلم المطلي PVC ومحبس بوابة من البرونز والغطاء من الحديد الزهر والإطار والدهان الداخلي والخارجي وكل ما يلزم ليكون جاهز للتشغيل حسب المواصفات والمخططات الموضحة.</t>
  </si>
  <si>
    <t>كما بالبند السابق لكن مقاس 400 ×400مم</t>
  </si>
  <si>
    <t>مواسير قطر 75 مم</t>
  </si>
  <si>
    <t>مواسير قطر 110 مم</t>
  </si>
  <si>
    <t>مواسير قطر 200 مم</t>
  </si>
  <si>
    <t>إنشاء غرفة تفتيش قطر (800 مم ) وأعماق مختلفة حسب الموقع من الخرسانة المسلحة سابقة الصب مع السلم المطلي PVC والغطاء من الحديد الزهر والإطار قطر 600 مم والدهان الداخلي والخارجي وكل ما يلزم ليكون جاهز للتشغيل حسب المواصفات والمخططات</t>
  </si>
  <si>
    <t>إنشاء غرفة تفتيش قطر (800 مم ) وأعماق مختلفة حسب الموقع من الخرسانة المسلحة سابقة الصب مع السلم المطلي PVC والغطاء من الحديد الزهر والإطار قطر 600 مم والدهان الداخلي والخارجي بالإضافة إلي مصيدة وصمامي عدم الرجوع قطر 110 مم وكل ما يلزم ليكون جاهز للتشغيل حسب المواصفات والمخططات</t>
  </si>
  <si>
    <t>مواسير قطر (4) بوصة</t>
  </si>
  <si>
    <t>مواسير قطر 40 مم</t>
  </si>
  <si>
    <t>إنشاء صندوق محابس مقاس 400مم×400 مم وأعماق مختلفة حسب الموقع من الخرسانة المسلحة سابقة الصب مع السلم المطلي PVC والغطاء من الحديد الزهر والإطار والدهان الداخلي والخارجي وكل ما يلزم ليكون جاهز للتشغيل حسب المواصفات والمخططات.</t>
  </si>
  <si>
    <t>رشاشات الرذاذ البارزة للاشجار قطر 20مم مع منظم ضغط بالخرطوم على ان يكون قدرته 25لتر فى الساعة طبقا للمواصفات الفنية بالمخططات .</t>
  </si>
  <si>
    <t>صمامات التحكم لخطوط الرى من الزجاج المقوى والجسم من المعدن الغير قابل للصداء وتحتوي علي محبس إغلاق يدوي للتحكم في الضغط وشبكة فلتر , الضغط التشغيلي 220 psi على ان تكون الصمامات مطابقة لمواصفات الاعمال الميكانيكية بالمخططات وطبقا للمواصفات المعتمدة .</t>
  </si>
  <si>
    <t>توريد وتركيب لوحة تحكم مبرمجة لمواسير الرى بحيث تكون مناسبة للتركيب الخارجي بحيث تتحكم فى قوة تدفق الماء بالدقيقة والساعة واليوم على ان تكون مطابقة لمواصفات الاعمال الميكانيكية بالمخططات وتعليمات الاستشاري</t>
  </si>
  <si>
    <t>توريد وتركيب أعمدة أنارة LED بارتفاع 6 متر من الحديد المجلفن بذراع واحد (250x1 وات ), 220 فولت, 60 هرتز,شامل أعمال التاريض والحماية من الصواعق والدهان مع كافة الاعمال والملحقات اللازمة لإنهاء العمل على الوجة المطلوب طبقا للمخططات والمواصفات (IP65).</t>
  </si>
  <si>
    <t>أعمدة إنارة للحدائق من لمبات بخار الزئبق ذات طاقة عالية كروية للمناظر الطبيعية (1*125 وات) 220V/60HZ بارتفاع 3.0 متر طبقا للمواصفات والمخططات</t>
  </si>
  <si>
    <t>وحدة إنارة مع مصباح 80وات بارتفاع 600مم طبقا للمواصفات والمخططات</t>
  </si>
  <si>
    <t>وحدة إنارة (1*80 وات -220فولت-60هرتز) مصباح بيضاوي من بخار الزئبق من الزجاج الشفاف العاكس ذات لمسة فضية طبقا للمواصفات والمخططات</t>
  </si>
  <si>
    <t>توريد وتركيب وتوصيل واختبار وتشغيل لوحة التوزيع أعمدة الإنارة (SLP) (380فولت,60هرتز-3فاز-4سلك) بقاطع رئيسي 63أمبير (63AT/100AF) &amp; وتشمل أعمال التوصيلات بالأرضي وقضبان التوزيع طبقا للمخططات وجدول الأحمال وتشمل ألآت القياس ولمبات البيان ووحدات الخلايا الضوئية ونظام التحكم عن بعد, تركيب خارجي والبند يشمل الكابلات والأسلاك الخاصة بوحدات الإنارة وأعمدة الإنارة الخارجية للتوصيل مع لوحة التوزيع (SLP) وكل ما يلزم لإتمام العمل علي الوجه المطلوب طبقا للمخططات والمواصفات الفنية وتعليمات جهة الإشراف .</t>
  </si>
  <si>
    <t>توريد وتركيب وتوصيل واختبار وتشغيل لوحة التوزيع الرئيسية (MDPB) (380/220فولت,60هرتز) (3Phase+N+E) بقاطع رئيسي 3000 أمبير وقضبان توزيع 3200 أمبير وتشمل أعمال التوصيلات بالأرضي وقضبان التوزيع وقواطيع فرعية طبقا للمخططات وجدول الأحمال وتشمل ألآت القياس ولمبات البيان ووحدات الخلايا الضوئية ونظام التحكم عن بعد وتركب اللوحة خارج المبني فوق الأرض والبند يشمل الأعمال الخرسانية الخاصة بتثبيت اللوحة مع كل مايلزم لإتمام العمل على الوجه المطلوب طبقا للمواصفات والمخططات وتعليمات جهة الإشراف.</t>
  </si>
  <si>
    <t>توريد وتركيب كابل قوى كهربائية تحت الارض يتكون من 4C x16 mm2 CU/XLPE/PVC, +1 x10 mm2 (E) والبند يشمل مواسير من اليو بي في سي مغلفة بالخرسانة عند تقاطع الطرق والأرصفة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 وذلك للتوصيل من لوحة التوزيع (SLP ) إلي لوحة التوزيع (MDPB )</t>
  </si>
  <si>
    <t>وتوريد وتركيب واختبار وتشغيل محطة تحويل مدمجة ( قدرة 13.8 ك ف 380 -220 فولت ,3فاز ,60 هرتز) تركيب خارجي مع أجهزة الحماية واتباع تعليمات الامان تحتوي على محول خافض للجهد نوع زيتي (2000 ك ف أمبير) , مع وحدة ربط حلقي (RMU) طبقا لجدول الأحمال والبند يشمل أجهزة القياس ولمبات البيان والقولتميتر والأميتر والمفاتيح والوصلات اللازمة وأدوات القياس والحماية وأعمال الخرسانة والبناء والتثبيت للمحطة وكل ما يلزم لإكمال العمل علي الوجه المطلوب طبقا للمخططات والمواصفات وجدول الأحمال.</t>
  </si>
  <si>
    <t>توريد وتركيب كابل قوى كهربائية ضغط متوسط مسلح تحت الارض يتكون من 3X1CX300mm2 .CU/XLPE/SWA/PVC ) 15KV UNDERGROUND CABLE والبند يشمل مواسير من اليو بي في سي مغلفة بالخرسانة عند تقاطع الطرق والأرصفة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 وذلك للتوصيل بين المحطة المدمجة بالموقع ونقطة الربط بغرفة التفتيش المتوفرة بالموقع العام طبقا لمخطط الكهرباء الخاص بالموقع العام.والبند يشمل عمل نقطة لحام توصيل كابلات الضغط المتوسط MV CONNECTION POINT</t>
  </si>
  <si>
    <t>توريد وتركيب كابل قوى كهربائية ضغط متوسط مسلح تحت الارض يتكون من 3X1CX300mm2 .CU/XLPE/SWA/PVC ) 15KV UNDERGROUND CABLE والبند يشمل مواسير من اليو بي في سي مغلفة بالخرسانة عند تقاطع الطرق والأرصفة والبند يشمل الحفر والردم وطبقات الرمل والقطع الخرسانية والعلامات الدالة وشريط التحذير والتمديد وكافة الاعمال والملحقات والاكسسوارات اللازمة لإنهاء العمل على الوجة المطلوب طبقا للمخططات والمواصفات. وذلك للتوصيل بين المحطة المدمجة بالموقع ونقطة الربط بغرفة التفتيش المتوفرة بالموقع العام طبقا لمخطط الكهرباء الخاص بالموقع العام ويتم وضع الكابل بنفس مكان الحفر والمسار للبند السابق مباشرة والبند يشمل عمل نقطة لحام توصيل كابلات الضغط المتوسط MV CONNECTION POINT</t>
  </si>
  <si>
    <t>إنشاء غرفة تفتيش كهرباء مقاس 1200×1200مم وأعماق مختلفة حسب الموقع من الخرسانة المسلحة مسبقة الصب ويشمل البند أعمال الحفر والردم وأي أعمال خرسانية مطلوبة لإتمام العمل مع أعمال العزل والحماية مع السلم المطلي PVC والغطاء مع الإطار من الحديد الزهر وخطاف الكابلات والتثبيت اللازم والدهان الداخلي والخارجي وكل ما يلزم ليكون جاهز للتشغيل وإتمام العمل طبقا للمواصفات والمخططات وتعليمات جهة الإشراف.</t>
  </si>
  <si>
    <t>حفر فى جميع انواع التربة لعمل مجارى خرسانية لكابلات البيانات للربط بين نظام البيانات ونقطة التوصيل الخارجية ويشمل البند عمل طبقات الرمل بحيث يتم توريد وتمديد عدد 2ماسورة بى فى سى بقطر 110 مم تحتوي واحدة منهما علي عدد ثلاث مواسير بى فى سى قطر 32 مم مع عمل الشريط التحذيري والقطع الخرسانية والتغليف الخرساني لمواسير ال ( PVC) والعلامات الإرشادية عند مرور الكابل تحت تقاطع طريق أو أرصفة الطرق والبند يشمل توريد وتمديد واختبار وتشغيل كابل ألياف بصرية للبيانات (12-CORE SINGLE MODE FIBER OPTIC) بالإضافة إلي كابل تلفون (30 PAIRS 0.65 mm2 TEL. CABLE ) مع جميع المواد المطلوبة وكل مايلزم لإتمام الربط بالموقع العام وإتمام العمل على الوجة المطلوب طبقا للمخططات والمواصفات وتعليمات جهة الإشراف.</t>
  </si>
  <si>
    <t>إنشاء غرفة تفتيش إتصالات مقاس 1000×1000مم وأعماق مختلفة حسب الموقع من الخرسانة المسلحة مسبقة الصب ويشمل البند أعمال الحفر والردم وأي أعمال خرسانية مطلوبة لإتمام العمل مع أعمال العزل والحماية مع السلم المطلي PVC والغطاء مع الإطار من الحديد الزهر وخطاف الكابلات والتثبيت اللازم والدهان الداخلي والخارجي وكل ما يلزم ليكون جاهز للتشغيل وإتمام العمل طبقا للمواصفات والمخططات وتعليمات جهة الإشراف.</t>
  </si>
  <si>
    <t>توريد وتركيب وإستبدال وحدة ربط حلقي (RMU) 400 أمبير الثلاثية الموجودة بالمحطة المدمجة الحالية المراد الربط منها للصالة الجديدة إلي وحدة ربط حلقي (RMU) رباعي 400 أمبير ويشمل البند كافة الوصلات وأنظمة الحماية وأعمال التثبيت وكل ما يلزم لإنهاء العمل علي الوجه المطلوب طبقا للمخططات والمواصفات وتعليمات جهة الإشراف.</t>
  </si>
  <si>
    <t xml:space="preserve">الأثاث </t>
  </si>
  <si>
    <t>طقم مكتب فئة (ج ) يشمل ( طاولة مكتب- ملحق - وحدة أدراج متحركة - طاولة شاي كبيرة - طاولة شاي صغيرة - دولاب - كرسي دوار - كراسي زوار - طقم كنب - شماعة ملابس ) طبقاُ الأعداد والمواصفات الموضحة بالمواصفة رقم (610 12)</t>
  </si>
  <si>
    <t>طاولة طعام دائرية 4 أشخاص مع الكراسي ( منطقة الكافيتيريا) طبقاُ المكونات والمواصفات والابعاد بالمواصفة (4-657-12 ).</t>
  </si>
  <si>
    <t>بار خشبي مقوس مع تشطيب ورنيش مقاس 3.44متر * 0.53 متر وارتفاع 1.20 متر مزود ب أربعة كراسي دائرية شامل كافة الاعمال والملحقات اللازمة لإنهاء العمل على الوجة المطلوب طبقا للمخططات والمواصفات.</t>
  </si>
  <si>
    <t>صوفا مفردة فئة ( ب ) طبقاً للمواصفة رقم (622 12 ).</t>
  </si>
  <si>
    <t>صوفا ثنائية فئة ( ب ) طبقاً للمواصفة رقم (622 12 ).</t>
  </si>
  <si>
    <t>طاولة شاي مستطيلة فئة ( ج ) الشكل طبقاُ المواصفات والابعاد بالمواصفة (656 12 )</t>
  </si>
  <si>
    <t>طاولة شاي مربعة الشكل فئة ( ج ) طبقاُ المواصفات والابعاد بالمواصفة (656 12)</t>
  </si>
  <si>
    <t>أرفف معدنية للتخزين مع كامل المحتويات والاكسسوارات اللازمة طبقاُ للأعداد والمواصفات الموضحة بالمواصفة CODE -12640-3</t>
  </si>
  <si>
    <t>أثاث غرفة الإسعافات الأولية (FIRST AID) والتي تتكون من وحدة سرير مقاس (900*2000مم) وصندوق أدوية وكرسي دوار بالإضافة إلي منضدة مع الكرسي الخاص بها</t>
  </si>
  <si>
    <t>تصميم وتوريد وتركيب كراسي المشاهدين لمنصة المشاهدين لحمام السباحة طبقا للمواصفات والمخططات وتشتمل اعمال التثبيت وكذلك تثبيت الاطار طبقا للمواصفات العالمية وكذلك المواصفات الخاصة والبند يشمل جميع ما يلزم من التجهيزات والإكسسوارات المطلوبة لإتمام العمل علي الوجه المطلوب وعلى المقاول تقديم عينة وكذلك كتالوج للاعتماد قبل التنفيذ مقاعد كبار الجمهور علي منصة حمام السباحة/فئة ( ب ) طبقاً للمواصفة رقم (624 12 ).</t>
  </si>
  <si>
    <t>تصميم وتوريد وتركيب كراسي المشاهدين لمنصة المشاهدين لحمام السباحة طبقا للمواصفات والمخططات وتشتمل اعمال التثبيت وكذلك تثبيت الاطار طبقا للمواصفات العالمية وكذلك المواصفات الخاصة والبند يشمل جميع ما يلزم من التجهيزات والإكسسوارات المطلوبة لإتمام العمل علي الوجه المطلوب وعلى المقاول تقديم عينة وكذلك كتالوج للاعتماد قبل التنفيذ. مقاعد الجمهور علي منصة حمام السباحة/فئة ( ب ) طبقاً للمواصفة رقم (623 12 ).</t>
  </si>
  <si>
    <t>كرسي زوار ثابت فئة ( ج ) بغرفة التمارين وغرفة الألعاب طبقاً للمواصفة رقم (621 12 ).</t>
  </si>
  <si>
    <t xml:space="preserve">الرقم المرجعي 260539006048 </t>
  </si>
  <si>
    <t>إنشاء وتجهيز وتأثيث صالة متعددة الأغراض بالمواقع الإدارية بالرياض - قوات الدفاع الجوي - مدة العقد 540 يوم</t>
  </si>
  <si>
    <t xml:space="preserve">آخر موعد لتقديم العروض 24/06/2026 </t>
  </si>
  <si>
    <t xml:space="preserve">الموقع العام </t>
  </si>
  <si>
    <t>السعر الافرادي</t>
  </si>
  <si>
    <t xml:space="preserve">السعر الإجمالي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</si>
</sst>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name val="FontRegular"/>
    </font>
    <font>
      <sz val="11"/>
      <name val="FontRegular"/>
    </font>
    <font>
      <sz val="12"/>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0" tint="-0.249977111117893"/>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readingOrder="2"/>
    </xf>
    <xf numFmtId="0" fontId="1" fillId="3" borderId="1" xfId="0" applyFont="1" applyFill="1" applyBorder="1" applyAlignment="1">
      <alignment horizontal="center" vertical="center" wrapText="1" readingOrder="2"/>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0" fillId="3" borderId="1" xfId="0" applyFill="1" applyBorder="1" applyAlignment="1">
      <alignment horizontal="center" vertical="center"/>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2"/>
  <sheetViews>
    <sheetView rightToLeft="1" tabSelected="1" topLeftCell="A46" zoomScale="80" zoomScaleNormal="80" workbookViewId="0">
      <selection activeCell="I69" sqref="I69"/>
    </sheetView>
  </sheetViews>
  <sheetFormatPr defaultRowHeight="14.4"/>
  <cols>
    <col min="1" max="1" width="11.33203125" customWidth="1"/>
    <col min="6" max="6" width="135.109375" customWidth="1"/>
    <col min="7" max="7" width="9.109375" customWidth="1"/>
    <col min="9" max="9" width="12.77734375" customWidth="1"/>
    <col min="10" max="10" width="17.6640625" customWidth="1"/>
  </cols>
  <sheetData>
    <row r="1" spans="1:10">
      <c r="A1" s="5" t="s">
        <v>65</v>
      </c>
      <c r="B1" s="5"/>
      <c r="C1" s="5"/>
      <c r="D1" s="5"/>
      <c r="E1" s="5"/>
      <c r="F1" s="5"/>
      <c r="G1" s="5"/>
      <c r="H1" s="5"/>
      <c r="I1" s="5"/>
      <c r="J1" s="5"/>
    </row>
    <row r="2" spans="1:10">
      <c r="A2" s="5" t="s">
        <v>64</v>
      </c>
      <c r="B2" s="5"/>
      <c r="C2" s="5"/>
      <c r="D2" s="5"/>
      <c r="E2" s="5"/>
      <c r="F2" s="5"/>
      <c r="G2" s="5"/>
      <c r="H2" s="5"/>
      <c r="I2" s="5"/>
      <c r="J2" s="5"/>
    </row>
    <row r="3" spans="1:10">
      <c r="A3" s="5" t="s">
        <v>66</v>
      </c>
      <c r="B3" s="5"/>
      <c r="C3" s="5"/>
      <c r="D3" s="5"/>
      <c r="E3" s="5"/>
      <c r="F3" s="5"/>
      <c r="G3" s="5"/>
      <c r="H3" s="5"/>
      <c r="I3" s="5"/>
      <c r="J3" s="5"/>
    </row>
    <row r="5" spans="1:10" ht="15.6">
      <c r="A5" s="3" t="s">
        <v>67</v>
      </c>
    </row>
    <row r="6" spans="1:10" ht="27" customHeight="1">
      <c r="A6" s="2" t="s">
        <v>0</v>
      </c>
      <c r="B6" s="2" t="s">
        <v>1</v>
      </c>
      <c r="C6" s="2" t="s">
        <v>2</v>
      </c>
      <c r="D6" s="2" t="s">
        <v>3</v>
      </c>
      <c r="E6" s="2" t="s">
        <v>4</v>
      </c>
      <c r="F6" s="2" t="s">
        <v>5</v>
      </c>
      <c r="G6" s="2" t="s">
        <v>6</v>
      </c>
      <c r="H6" s="2" t="s">
        <v>7</v>
      </c>
      <c r="I6" s="2" t="s">
        <v>68</v>
      </c>
      <c r="J6" s="2" t="s">
        <v>69</v>
      </c>
    </row>
    <row r="7" spans="1:10" ht="27.6">
      <c r="A7" s="1">
        <v>1</v>
      </c>
      <c r="B7" s="1"/>
      <c r="C7" s="1">
        <v>1</v>
      </c>
      <c r="D7" s="1" t="s">
        <v>8</v>
      </c>
      <c r="E7" s="1">
        <v>1</v>
      </c>
      <c r="F7" s="1" t="s">
        <v>9</v>
      </c>
      <c r="G7" s="1"/>
      <c r="H7" s="1" t="s">
        <v>10</v>
      </c>
      <c r="I7" s="1">
        <v>0</v>
      </c>
      <c r="J7" s="1">
        <f>I7*E7</f>
        <v>0</v>
      </c>
    </row>
    <row r="8" spans="1:10" ht="27.6">
      <c r="A8" s="1">
        <v>2</v>
      </c>
      <c r="B8" s="1"/>
      <c r="C8" s="1">
        <v>2</v>
      </c>
      <c r="D8" s="1" t="s">
        <v>11</v>
      </c>
      <c r="E8" s="1">
        <v>538</v>
      </c>
      <c r="F8" s="1" t="s">
        <v>12</v>
      </c>
      <c r="G8" s="1"/>
      <c r="H8" s="1" t="s">
        <v>13</v>
      </c>
      <c r="I8" s="1">
        <v>0</v>
      </c>
      <c r="J8" s="1">
        <f t="shared" ref="J8:J45" si="0">I8*E8</f>
        <v>0</v>
      </c>
    </row>
    <row r="9" spans="1:10">
      <c r="A9" s="1">
        <v>3</v>
      </c>
      <c r="B9" s="1"/>
      <c r="C9" s="1">
        <v>3</v>
      </c>
      <c r="D9" s="1" t="s">
        <v>11</v>
      </c>
      <c r="E9" s="1">
        <v>637</v>
      </c>
      <c r="F9" s="1" t="s">
        <v>14</v>
      </c>
      <c r="G9" s="1"/>
      <c r="H9" s="1" t="s">
        <v>13</v>
      </c>
      <c r="I9" s="1">
        <v>0</v>
      </c>
      <c r="J9" s="1">
        <f t="shared" si="0"/>
        <v>0</v>
      </c>
    </row>
    <row r="10" spans="1:10" ht="27.6">
      <c r="A10" s="1">
        <v>4</v>
      </c>
      <c r="B10" s="1"/>
      <c r="C10" s="1">
        <v>4</v>
      </c>
      <c r="D10" s="1" t="s">
        <v>15</v>
      </c>
      <c r="E10" s="1">
        <v>1759</v>
      </c>
      <c r="F10" s="1" t="s">
        <v>16</v>
      </c>
      <c r="G10" s="1"/>
      <c r="H10" s="1" t="s">
        <v>13</v>
      </c>
      <c r="I10" s="1">
        <v>0</v>
      </c>
      <c r="J10" s="1">
        <f t="shared" si="0"/>
        <v>0</v>
      </c>
    </row>
    <row r="11" spans="1:10" ht="41.4">
      <c r="A11" s="1">
        <v>5</v>
      </c>
      <c r="B11" s="1"/>
      <c r="C11" s="1">
        <v>5</v>
      </c>
      <c r="D11" s="1" t="s">
        <v>15</v>
      </c>
      <c r="E11" s="1">
        <v>1107</v>
      </c>
      <c r="F11" s="1" t="s">
        <v>17</v>
      </c>
      <c r="G11" s="1"/>
      <c r="H11" s="1" t="s">
        <v>13</v>
      </c>
      <c r="I11" s="1">
        <v>0</v>
      </c>
      <c r="J11" s="1">
        <f t="shared" si="0"/>
        <v>0</v>
      </c>
    </row>
    <row r="12" spans="1:10" ht="27.6">
      <c r="A12" s="1">
        <v>6</v>
      </c>
      <c r="B12" s="1"/>
      <c r="C12" s="1">
        <v>6</v>
      </c>
      <c r="D12" s="1" t="s">
        <v>8</v>
      </c>
      <c r="E12" s="1">
        <v>20</v>
      </c>
      <c r="F12" s="1" t="s">
        <v>18</v>
      </c>
      <c r="G12" s="1"/>
      <c r="H12" s="1" t="s">
        <v>13</v>
      </c>
      <c r="I12" s="1">
        <v>0</v>
      </c>
      <c r="J12" s="1">
        <f t="shared" si="0"/>
        <v>0</v>
      </c>
    </row>
    <row r="13" spans="1:10" ht="27.6">
      <c r="A13" s="1">
        <v>7</v>
      </c>
      <c r="B13" s="1"/>
      <c r="C13" s="1">
        <v>7</v>
      </c>
      <c r="D13" s="1" t="s">
        <v>15</v>
      </c>
      <c r="E13" s="1">
        <v>830</v>
      </c>
      <c r="F13" s="1" t="s">
        <v>19</v>
      </c>
      <c r="G13" s="1"/>
      <c r="H13" s="1" t="s">
        <v>10</v>
      </c>
      <c r="I13" s="1">
        <v>0</v>
      </c>
      <c r="J13" s="1">
        <f t="shared" si="0"/>
        <v>0</v>
      </c>
    </row>
    <row r="14" spans="1:10" ht="41.4">
      <c r="A14" s="1">
        <v>8</v>
      </c>
      <c r="B14" s="1"/>
      <c r="C14" s="1">
        <v>8</v>
      </c>
      <c r="D14" s="1" t="s">
        <v>15</v>
      </c>
      <c r="E14" s="1">
        <v>360</v>
      </c>
      <c r="F14" s="1" t="s">
        <v>20</v>
      </c>
      <c r="G14" s="1"/>
      <c r="H14" s="1" t="s">
        <v>13</v>
      </c>
      <c r="I14" s="1">
        <v>0</v>
      </c>
      <c r="J14" s="1">
        <f t="shared" si="0"/>
        <v>0</v>
      </c>
    </row>
    <row r="15" spans="1:10">
      <c r="A15" s="1">
        <v>9</v>
      </c>
      <c r="B15" s="1"/>
      <c r="C15" s="1">
        <v>9</v>
      </c>
      <c r="D15" s="1" t="s">
        <v>11</v>
      </c>
      <c r="E15" s="1">
        <v>8</v>
      </c>
      <c r="F15" s="1" t="s">
        <v>21</v>
      </c>
      <c r="G15" s="1"/>
      <c r="H15" s="1" t="s">
        <v>13</v>
      </c>
      <c r="I15" s="1">
        <v>0</v>
      </c>
      <c r="J15" s="1">
        <f t="shared" si="0"/>
        <v>0</v>
      </c>
    </row>
    <row r="16" spans="1:10">
      <c r="A16" s="1">
        <v>10</v>
      </c>
      <c r="B16" s="1"/>
      <c r="C16" s="1">
        <v>10</v>
      </c>
      <c r="D16" s="1" t="s">
        <v>11</v>
      </c>
      <c r="E16" s="1">
        <v>11</v>
      </c>
      <c r="F16" s="1" t="s">
        <v>22</v>
      </c>
      <c r="G16" s="1"/>
      <c r="H16" s="1" t="s">
        <v>13</v>
      </c>
      <c r="I16" s="1">
        <v>0</v>
      </c>
      <c r="J16" s="1">
        <f t="shared" si="0"/>
        <v>0</v>
      </c>
    </row>
    <row r="17" spans="1:10">
      <c r="A17" s="1">
        <v>11</v>
      </c>
      <c r="B17" s="1"/>
      <c r="C17" s="1">
        <v>11</v>
      </c>
      <c r="D17" s="1" t="s">
        <v>11</v>
      </c>
      <c r="E17" s="1">
        <v>307</v>
      </c>
      <c r="F17" s="1" t="s">
        <v>23</v>
      </c>
      <c r="G17" s="1"/>
      <c r="H17" s="1" t="s">
        <v>13</v>
      </c>
      <c r="I17" s="1">
        <v>0</v>
      </c>
      <c r="J17" s="1">
        <f t="shared" si="0"/>
        <v>0</v>
      </c>
    </row>
    <row r="18" spans="1:10" ht="27.6">
      <c r="A18" s="1">
        <v>12</v>
      </c>
      <c r="B18" s="1"/>
      <c r="C18" s="1">
        <v>12</v>
      </c>
      <c r="D18" s="1" t="s">
        <v>8</v>
      </c>
      <c r="E18" s="1">
        <v>1</v>
      </c>
      <c r="F18" s="1" t="s">
        <v>24</v>
      </c>
      <c r="G18" s="1"/>
      <c r="H18" s="1" t="s">
        <v>13</v>
      </c>
      <c r="I18" s="1">
        <v>0</v>
      </c>
      <c r="J18" s="1">
        <f t="shared" si="0"/>
        <v>0</v>
      </c>
    </row>
    <row r="19" spans="1:10">
      <c r="A19" s="1">
        <v>13</v>
      </c>
      <c r="B19" s="1"/>
      <c r="C19" s="1">
        <v>13</v>
      </c>
      <c r="D19" s="1" t="s">
        <v>8</v>
      </c>
      <c r="E19" s="1">
        <v>4</v>
      </c>
      <c r="F19" s="1" t="s">
        <v>25</v>
      </c>
      <c r="G19" s="1"/>
      <c r="H19" s="1" t="s">
        <v>13</v>
      </c>
      <c r="I19" s="1">
        <v>0</v>
      </c>
      <c r="J19" s="1">
        <f t="shared" si="0"/>
        <v>0</v>
      </c>
    </row>
    <row r="20" spans="1:10">
      <c r="A20" s="1">
        <v>14</v>
      </c>
      <c r="B20" s="1"/>
      <c r="C20" s="1">
        <v>14</v>
      </c>
      <c r="D20" s="1" t="s">
        <v>11</v>
      </c>
      <c r="E20" s="1">
        <v>12</v>
      </c>
      <c r="F20" s="1" t="s">
        <v>26</v>
      </c>
      <c r="G20" s="1"/>
      <c r="H20" s="1" t="s">
        <v>13</v>
      </c>
      <c r="I20" s="1">
        <v>0</v>
      </c>
      <c r="J20" s="1">
        <f t="shared" si="0"/>
        <v>0</v>
      </c>
    </row>
    <row r="21" spans="1:10">
      <c r="A21" s="1">
        <v>15</v>
      </c>
      <c r="B21" s="1"/>
      <c r="C21" s="1">
        <v>15</v>
      </c>
      <c r="D21" s="1" t="s">
        <v>11</v>
      </c>
      <c r="E21" s="1">
        <v>57</v>
      </c>
      <c r="F21" s="1" t="s">
        <v>27</v>
      </c>
      <c r="G21" s="1"/>
      <c r="H21" s="1" t="s">
        <v>13</v>
      </c>
      <c r="I21" s="1">
        <v>0</v>
      </c>
      <c r="J21" s="1">
        <f t="shared" si="0"/>
        <v>0</v>
      </c>
    </row>
    <row r="22" spans="1:10">
      <c r="A22" s="1">
        <v>16</v>
      </c>
      <c r="B22" s="1"/>
      <c r="C22" s="1">
        <v>16</v>
      </c>
      <c r="D22" s="1" t="s">
        <v>11</v>
      </c>
      <c r="E22" s="1">
        <v>365</v>
      </c>
      <c r="F22" s="1" t="s">
        <v>28</v>
      </c>
      <c r="G22" s="1"/>
      <c r="H22" s="1" t="s">
        <v>13</v>
      </c>
      <c r="I22" s="1">
        <v>0</v>
      </c>
      <c r="J22" s="1">
        <f t="shared" si="0"/>
        <v>0</v>
      </c>
    </row>
    <row r="23" spans="1:10" ht="27.6">
      <c r="A23" s="1">
        <v>17</v>
      </c>
      <c r="B23" s="1"/>
      <c r="C23" s="1">
        <v>17</v>
      </c>
      <c r="D23" s="1" t="s">
        <v>8</v>
      </c>
      <c r="E23" s="1">
        <v>13</v>
      </c>
      <c r="F23" s="1" t="s">
        <v>29</v>
      </c>
      <c r="G23" s="1"/>
      <c r="H23" s="1" t="s">
        <v>13</v>
      </c>
      <c r="I23" s="1">
        <v>0</v>
      </c>
      <c r="J23" s="1">
        <f t="shared" si="0"/>
        <v>0</v>
      </c>
    </row>
    <row r="24" spans="1:10" ht="27.6">
      <c r="A24" s="1">
        <v>18</v>
      </c>
      <c r="B24" s="1"/>
      <c r="C24" s="1">
        <v>18</v>
      </c>
      <c r="D24" s="1" t="s">
        <v>8</v>
      </c>
      <c r="E24" s="1">
        <v>1</v>
      </c>
      <c r="F24" s="1" t="s">
        <v>30</v>
      </c>
      <c r="G24" s="1"/>
      <c r="H24" s="1" t="s">
        <v>13</v>
      </c>
      <c r="I24" s="1">
        <v>0</v>
      </c>
      <c r="J24" s="1">
        <f t="shared" si="0"/>
        <v>0</v>
      </c>
    </row>
    <row r="25" spans="1:10">
      <c r="A25" s="1">
        <v>19</v>
      </c>
      <c r="B25" s="1"/>
      <c r="C25" s="1">
        <v>19</v>
      </c>
      <c r="D25" s="1" t="s">
        <v>11</v>
      </c>
      <c r="E25" s="1">
        <v>101</v>
      </c>
      <c r="F25" s="1" t="s">
        <v>31</v>
      </c>
      <c r="G25" s="1"/>
      <c r="H25" s="1" t="s">
        <v>13</v>
      </c>
      <c r="I25" s="1">
        <v>0</v>
      </c>
      <c r="J25" s="1">
        <f t="shared" si="0"/>
        <v>0</v>
      </c>
    </row>
    <row r="26" spans="1:10">
      <c r="A26" s="1">
        <v>20</v>
      </c>
      <c r="B26" s="1"/>
      <c r="C26" s="1">
        <v>20</v>
      </c>
      <c r="D26" s="1" t="s">
        <v>11</v>
      </c>
      <c r="E26" s="1">
        <v>272</v>
      </c>
      <c r="F26" s="1" t="s">
        <v>23</v>
      </c>
      <c r="G26" s="1"/>
      <c r="H26" s="1" t="s">
        <v>13</v>
      </c>
      <c r="I26" s="1">
        <v>0</v>
      </c>
      <c r="J26" s="1">
        <f t="shared" si="0"/>
        <v>0</v>
      </c>
    </row>
    <row r="27" spans="1:10">
      <c r="A27" s="1">
        <v>21</v>
      </c>
      <c r="B27" s="1"/>
      <c r="C27" s="1">
        <v>21</v>
      </c>
      <c r="D27" s="1" t="s">
        <v>11</v>
      </c>
      <c r="E27" s="1">
        <v>227</v>
      </c>
      <c r="F27" s="1" t="s">
        <v>32</v>
      </c>
      <c r="G27" s="1"/>
      <c r="H27" s="1" t="s">
        <v>13</v>
      </c>
      <c r="I27" s="1">
        <v>0</v>
      </c>
      <c r="J27" s="1">
        <f t="shared" si="0"/>
        <v>0</v>
      </c>
    </row>
    <row r="28" spans="1:10" ht="27.6">
      <c r="A28" s="1">
        <v>22</v>
      </c>
      <c r="B28" s="1"/>
      <c r="C28" s="1">
        <v>22</v>
      </c>
      <c r="D28" s="1" t="s">
        <v>8</v>
      </c>
      <c r="E28" s="1">
        <v>1</v>
      </c>
      <c r="F28" s="1" t="s">
        <v>33</v>
      </c>
      <c r="G28" s="1"/>
      <c r="H28" s="1" t="s">
        <v>13</v>
      </c>
      <c r="I28" s="1">
        <v>0</v>
      </c>
      <c r="J28" s="1">
        <f t="shared" si="0"/>
        <v>0</v>
      </c>
    </row>
    <row r="29" spans="1:10">
      <c r="A29" s="1">
        <v>23</v>
      </c>
      <c r="B29" s="1"/>
      <c r="C29" s="1">
        <v>23</v>
      </c>
      <c r="D29" s="1" t="s">
        <v>8</v>
      </c>
      <c r="E29" s="1">
        <v>10</v>
      </c>
      <c r="F29" s="1" t="s">
        <v>34</v>
      </c>
      <c r="G29" s="1"/>
      <c r="H29" s="1" t="s">
        <v>13</v>
      </c>
      <c r="I29" s="1">
        <v>0</v>
      </c>
      <c r="J29" s="1">
        <f t="shared" si="0"/>
        <v>0</v>
      </c>
    </row>
    <row r="30" spans="1:10" ht="27.6">
      <c r="A30" s="1">
        <v>24</v>
      </c>
      <c r="B30" s="1"/>
      <c r="C30" s="1">
        <v>24</v>
      </c>
      <c r="D30" s="1" t="s">
        <v>8</v>
      </c>
      <c r="E30" s="1">
        <v>1</v>
      </c>
      <c r="F30" s="1" t="s">
        <v>35</v>
      </c>
      <c r="G30" s="1"/>
      <c r="H30" s="1" t="s">
        <v>13</v>
      </c>
      <c r="I30" s="1">
        <v>0</v>
      </c>
      <c r="J30" s="1">
        <f t="shared" si="0"/>
        <v>0</v>
      </c>
    </row>
    <row r="31" spans="1:10" ht="27.6">
      <c r="A31" s="1">
        <v>25</v>
      </c>
      <c r="B31" s="1"/>
      <c r="C31" s="1">
        <v>25</v>
      </c>
      <c r="D31" s="1" t="s">
        <v>8</v>
      </c>
      <c r="E31" s="1">
        <v>1</v>
      </c>
      <c r="F31" s="1" t="s">
        <v>36</v>
      </c>
      <c r="G31" s="1"/>
      <c r="H31" s="1" t="s">
        <v>10</v>
      </c>
      <c r="I31" s="1">
        <v>0</v>
      </c>
      <c r="J31" s="1">
        <f t="shared" si="0"/>
        <v>0</v>
      </c>
    </row>
    <row r="32" spans="1:10" ht="27.6">
      <c r="A32" s="1">
        <v>26</v>
      </c>
      <c r="B32" s="1"/>
      <c r="C32" s="1">
        <v>26</v>
      </c>
      <c r="D32" s="1" t="s">
        <v>8</v>
      </c>
      <c r="E32" s="1">
        <v>6</v>
      </c>
      <c r="F32" s="1" t="s">
        <v>37</v>
      </c>
      <c r="G32" s="1"/>
      <c r="H32" s="1" t="s">
        <v>13</v>
      </c>
      <c r="I32" s="1">
        <v>0</v>
      </c>
      <c r="J32" s="1">
        <f t="shared" si="0"/>
        <v>0</v>
      </c>
    </row>
    <row r="33" spans="1:10">
      <c r="A33" s="1">
        <v>27</v>
      </c>
      <c r="B33" s="1"/>
      <c r="C33" s="1">
        <v>27</v>
      </c>
      <c r="D33" s="1" t="s">
        <v>8</v>
      </c>
      <c r="E33" s="1">
        <v>8</v>
      </c>
      <c r="F33" s="1" t="s">
        <v>38</v>
      </c>
      <c r="G33" s="1"/>
      <c r="H33" s="1" t="s">
        <v>13</v>
      </c>
      <c r="I33" s="1">
        <v>0</v>
      </c>
      <c r="J33" s="1">
        <f t="shared" si="0"/>
        <v>0</v>
      </c>
    </row>
    <row r="34" spans="1:10">
      <c r="A34" s="1">
        <v>28</v>
      </c>
      <c r="B34" s="1"/>
      <c r="C34" s="1">
        <v>28</v>
      </c>
      <c r="D34" s="1" t="s">
        <v>8</v>
      </c>
      <c r="E34" s="1">
        <v>24</v>
      </c>
      <c r="F34" s="1" t="s">
        <v>39</v>
      </c>
      <c r="G34" s="1"/>
      <c r="H34" s="1" t="s">
        <v>13</v>
      </c>
      <c r="I34" s="1">
        <v>0</v>
      </c>
      <c r="J34" s="1">
        <f t="shared" si="0"/>
        <v>0</v>
      </c>
    </row>
    <row r="35" spans="1:10">
      <c r="A35" s="1">
        <v>29</v>
      </c>
      <c r="B35" s="1"/>
      <c r="C35" s="1">
        <v>29</v>
      </c>
      <c r="D35" s="1" t="s">
        <v>8</v>
      </c>
      <c r="E35" s="1">
        <v>4</v>
      </c>
      <c r="F35" s="1" t="s">
        <v>40</v>
      </c>
      <c r="G35" s="1"/>
      <c r="H35" s="1" t="s">
        <v>13</v>
      </c>
      <c r="I35" s="1">
        <v>0</v>
      </c>
      <c r="J35" s="1">
        <f t="shared" si="0"/>
        <v>0</v>
      </c>
    </row>
    <row r="36" spans="1:10" ht="41.4">
      <c r="A36" s="1">
        <v>30</v>
      </c>
      <c r="B36" s="1"/>
      <c r="C36" s="1">
        <v>30</v>
      </c>
      <c r="D36" s="1" t="s">
        <v>8</v>
      </c>
      <c r="E36" s="1">
        <v>1</v>
      </c>
      <c r="F36" s="1" t="s">
        <v>41</v>
      </c>
      <c r="G36" s="1"/>
      <c r="H36" s="1" t="s">
        <v>13</v>
      </c>
      <c r="I36" s="1">
        <v>0</v>
      </c>
      <c r="J36" s="1">
        <f t="shared" si="0"/>
        <v>0</v>
      </c>
    </row>
    <row r="37" spans="1:10" ht="41.4">
      <c r="A37" s="1">
        <v>31</v>
      </c>
      <c r="B37" s="1"/>
      <c r="C37" s="1">
        <v>31</v>
      </c>
      <c r="D37" s="1" t="s">
        <v>8</v>
      </c>
      <c r="E37" s="1">
        <v>1</v>
      </c>
      <c r="F37" s="1" t="s">
        <v>42</v>
      </c>
      <c r="G37" s="1"/>
      <c r="H37" s="1" t="s">
        <v>13</v>
      </c>
      <c r="I37" s="1">
        <v>0</v>
      </c>
      <c r="J37" s="1">
        <f t="shared" si="0"/>
        <v>0</v>
      </c>
    </row>
    <row r="38" spans="1:10" ht="41.4">
      <c r="A38" s="1">
        <v>32</v>
      </c>
      <c r="B38" s="1"/>
      <c r="C38" s="1">
        <v>32</v>
      </c>
      <c r="D38" s="1" t="s">
        <v>11</v>
      </c>
      <c r="E38" s="1">
        <v>21</v>
      </c>
      <c r="F38" s="1" t="s">
        <v>43</v>
      </c>
      <c r="G38" s="1"/>
      <c r="H38" s="1" t="s">
        <v>13</v>
      </c>
      <c r="I38" s="1">
        <v>0</v>
      </c>
      <c r="J38" s="1">
        <f t="shared" si="0"/>
        <v>0</v>
      </c>
    </row>
    <row r="39" spans="1:10" ht="41.4">
      <c r="A39" s="1">
        <v>33</v>
      </c>
      <c r="B39" s="1"/>
      <c r="C39" s="1">
        <v>33</v>
      </c>
      <c r="D39" s="1" t="s">
        <v>8</v>
      </c>
      <c r="E39" s="1">
        <v>1</v>
      </c>
      <c r="F39" s="1" t="s">
        <v>44</v>
      </c>
      <c r="G39" s="1"/>
      <c r="H39" s="1" t="s">
        <v>13</v>
      </c>
      <c r="I39" s="1">
        <v>0</v>
      </c>
      <c r="J39" s="1">
        <f t="shared" si="0"/>
        <v>0</v>
      </c>
    </row>
    <row r="40" spans="1:10" ht="55.2">
      <c r="A40" s="1">
        <v>34</v>
      </c>
      <c r="B40" s="1"/>
      <c r="C40" s="1">
        <v>34</v>
      </c>
      <c r="D40" s="1" t="s">
        <v>11</v>
      </c>
      <c r="E40" s="1">
        <v>200</v>
      </c>
      <c r="F40" s="1" t="s">
        <v>45</v>
      </c>
      <c r="G40" s="1"/>
      <c r="H40" s="1" t="s">
        <v>13</v>
      </c>
      <c r="I40" s="1">
        <v>0</v>
      </c>
      <c r="J40" s="1">
        <f t="shared" si="0"/>
        <v>0</v>
      </c>
    </row>
    <row r="41" spans="1:10" ht="55.2">
      <c r="A41" s="1">
        <v>35</v>
      </c>
      <c r="B41" s="1"/>
      <c r="C41" s="1">
        <v>35</v>
      </c>
      <c r="D41" s="1" t="s">
        <v>11</v>
      </c>
      <c r="E41" s="1">
        <v>200</v>
      </c>
      <c r="F41" s="1" t="s">
        <v>46</v>
      </c>
      <c r="G41" s="1"/>
      <c r="H41" s="1" t="s">
        <v>13</v>
      </c>
      <c r="I41" s="1">
        <v>0</v>
      </c>
      <c r="J41" s="1">
        <f t="shared" si="0"/>
        <v>0</v>
      </c>
    </row>
    <row r="42" spans="1:10" ht="41.4">
      <c r="A42" s="1">
        <v>36</v>
      </c>
      <c r="B42" s="1"/>
      <c r="C42" s="1">
        <v>36</v>
      </c>
      <c r="D42" s="1" t="s">
        <v>8</v>
      </c>
      <c r="E42" s="1">
        <v>5</v>
      </c>
      <c r="F42" s="1" t="s">
        <v>47</v>
      </c>
      <c r="G42" s="1"/>
      <c r="H42" s="1" t="s">
        <v>13</v>
      </c>
      <c r="I42" s="1">
        <v>0</v>
      </c>
      <c r="J42" s="1">
        <f t="shared" si="0"/>
        <v>0</v>
      </c>
    </row>
    <row r="43" spans="1:10" ht="55.2">
      <c r="A43" s="1">
        <v>37</v>
      </c>
      <c r="B43" s="1"/>
      <c r="C43" s="1">
        <v>37</v>
      </c>
      <c r="D43" s="1" t="s">
        <v>11</v>
      </c>
      <c r="E43" s="1">
        <v>195</v>
      </c>
      <c r="F43" s="1" t="s">
        <v>48</v>
      </c>
      <c r="G43" s="1"/>
      <c r="H43" s="1" t="s">
        <v>13</v>
      </c>
      <c r="I43" s="1">
        <v>0</v>
      </c>
      <c r="J43" s="1">
        <f t="shared" si="0"/>
        <v>0</v>
      </c>
    </row>
    <row r="44" spans="1:10" ht="41.4">
      <c r="A44" s="1">
        <v>38</v>
      </c>
      <c r="B44" s="1"/>
      <c r="C44" s="1">
        <v>38</v>
      </c>
      <c r="D44" s="1" t="s">
        <v>8</v>
      </c>
      <c r="E44" s="1">
        <v>5</v>
      </c>
      <c r="F44" s="1" t="s">
        <v>49</v>
      </c>
      <c r="G44" s="1"/>
      <c r="H44" s="1" t="s">
        <v>13</v>
      </c>
      <c r="I44" s="1">
        <v>0</v>
      </c>
      <c r="J44" s="1">
        <f t="shared" si="0"/>
        <v>0</v>
      </c>
    </row>
    <row r="45" spans="1:10" ht="27.6">
      <c r="A45" s="1">
        <v>39</v>
      </c>
      <c r="B45" s="1"/>
      <c r="C45" s="1">
        <v>39</v>
      </c>
      <c r="D45" s="1" t="s">
        <v>8</v>
      </c>
      <c r="E45" s="1">
        <v>1</v>
      </c>
      <c r="F45" s="1" t="s">
        <v>50</v>
      </c>
      <c r="G45" s="1"/>
      <c r="H45" s="1" t="s">
        <v>13</v>
      </c>
      <c r="I45" s="1">
        <v>0</v>
      </c>
      <c r="J45" s="1">
        <f t="shared" si="0"/>
        <v>0</v>
      </c>
    </row>
    <row r="46" spans="1:10" ht="42" customHeight="1">
      <c r="I46" s="2"/>
      <c r="J46" s="2">
        <f>SUM(J7:J45)</f>
        <v>0</v>
      </c>
    </row>
    <row r="48" spans="1:10" ht="15.6">
      <c r="A48" s="4" t="s">
        <v>51</v>
      </c>
    </row>
    <row r="49" spans="1:10" ht="27" customHeight="1">
      <c r="A49" s="2" t="s">
        <v>0</v>
      </c>
      <c r="B49" s="2" t="s">
        <v>1</v>
      </c>
      <c r="C49" s="2" t="s">
        <v>2</v>
      </c>
      <c r="D49" s="2" t="s">
        <v>3</v>
      </c>
      <c r="E49" s="2" t="s">
        <v>4</v>
      </c>
      <c r="F49" s="2" t="s">
        <v>5</v>
      </c>
      <c r="G49" s="2" t="s">
        <v>6</v>
      </c>
      <c r="H49" s="2" t="s">
        <v>7</v>
      </c>
      <c r="I49" s="2" t="s">
        <v>68</v>
      </c>
      <c r="J49" s="2" t="s">
        <v>69</v>
      </c>
    </row>
    <row r="50" spans="1:10" ht="27.6">
      <c r="A50" s="1">
        <v>1</v>
      </c>
      <c r="B50" s="1"/>
      <c r="C50" s="1">
        <v>1</v>
      </c>
      <c r="D50" s="1" t="s">
        <v>8</v>
      </c>
      <c r="E50" s="1">
        <v>3</v>
      </c>
      <c r="F50" s="1" t="s">
        <v>52</v>
      </c>
      <c r="G50" s="1"/>
      <c r="H50" s="1" t="s">
        <v>13</v>
      </c>
      <c r="I50" s="1">
        <v>0</v>
      </c>
      <c r="J50" s="1">
        <f>I50*E50</f>
        <v>0</v>
      </c>
    </row>
    <row r="51" spans="1:10">
      <c r="A51" s="1">
        <v>2</v>
      </c>
      <c r="B51" s="1"/>
      <c r="C51" s="1">
        <v>2</v>
      </c>
      <c r="D51" s="1" t="s">
        <v>8</v>
      </c>
      <c r="E51" s="1">
        <v>6</v>
      </c>
      <c r="F51" s="1" t="s">
        <v>53</v>
      </c>
      <c r="G51" s="1"/>
      <c r="H51" s="1" t="s">
        <v>13</v>
      </c>
      <c r="I51" s="1">
        <v>0</v>
      </c>
      <c r="J51" s="1">
        <f t="shared" ref="J51:J61" si="1">I51*E51</f>
        <v>0</v>
      </c>
    </row>
    <row r="52" spans="1:10" ht="27.6">
      <c r="A52" s="1">
        <v>3</v>
      </c>
      <c r="B52" s="1"/>
      <c r="C52" s="1">
        <v>3</v>
      </c>
      <c r="D52" s="1" t="s">
        <v>8</v>
      </c>
      <c r="E52" s="1">
        <v>1</v>
      </c>
      <c r="F52" s="1" t="s">
        <v>54</v>
      </c>
      <c r="G52" s="1"/>
      <c r="H52" s="1" t="s">
        <v>13</v>
      </c>
      <c r="I52" s="1">
        <v>0</v>
      </c>
      <c r="J52" s="1">
        <f t="shared" si="1"/>
        <v>0</v>
      </c>
    </row>
    <row r="53" spans="1:10">
      <c r="A53" s="1">
        <v>4</v>
      </c>
      <c r="B53" s="1"/>
      <c r="C53" s="1">
        <v>4</v>
      </c>
      <c r="D53" s="1" t="s">
        <v>8</v>
      </c>
      <c r="E53" s="1">
        <v>1</v>
      </c>
      <c r="F53" s="1" t="s">
        <v>55</v>
      </c>
      <c r="G53" s="1"/>
      <c r="H53" s="1" t="s">
        <v>13</v>
      </c>
      <c r="I53" s="1">
        <v>0</v>
      </c>
      <c r="J53" s="1">
        <f t="shared" si="1"/>
        <v>0</v>
      </c>
    </row>
    <row r="54" spans="1:10">
      <c r="A54" s="1">
        <v>5</v>
      </c>
      <c r="B54" s="1"/>
      <c r="C54" s="1">
        <v>5</v>
      </c>
      <c r="D54" s="1" t="s">
        <v>8</v>
      </c>
      <c r="E54" s="1">
        <v>10</v>
      </c>
      <c r="F54" s="1" t="s">
        <v>56</v>
      </c>
      <c r="G54" s="1"/>
      <c r="H54" s="1" t="s">
        <v>13</v>
      </c>
      <c r="I54" s="1">
        <v>0</v>
      </c>
      <c r="J54" s="1">
        <f t="shared" si="1"/>
        <v>0</v>
      </c>
    </row>
    <row r="55" spans="1:10">
      <c r="A55" s="1">
        <v>6</v>
      </c>
      <c r="B55" s="1"/>
      <c r="C55" s="1">
        <v>6</v>
      </c>
      <c r="D55" s="1" t="s">
        <v>8</v>
      </c>
      <c r="E55" s="1">
        <v>12</v>
      </c>
      <c r="F55" s="1" t="s">
        <v>57</v>
      </c>
      <c r="G55" s="1"/>
      <c r="H55" s="1" t="s">
        <v>13</v>
      </c>
      <c r="I55" s="1">
        <v>0</v>
      </c>
      <c r="J55" s="1">
        <f t="shared" si="1"/>
        <v>0</v>
      </c>
    </row>
    <row r="56" spans="1:10">
      <c r="A56" s="1">
        <v>7</v>
      </c>
      <c r="B56" s="1"/>
      <c r="C56" s="1">
        <v>7</v>
      </c>
      <c r="D56" s="1" t="s">
        <v>8</v>
      </c>
      <c r="E56" s="1">
        <v>10</v>
      </c>
      <c r="F56" s="1" t="s">
        <v>58</v>
      </c>
      <c r="G56" s="1"/>
      <c r="H56" s="1" t="s">
        <v>13</v>
      </c>
      <c r="I56" s="1">
        <v>0</v>
      </c>
      <c r="J56" s="1">
        <f t="shared" si="1"/>
        <v>0</v>
      </c>
    </row>
    <row r="57" spans="1:10">
      <c r="A57" s="1">
        <v>8</v>
      </c>
      <c r="B57" s="1"/>
      <c r="C57" s="1">
        <v>8</v>
      </c>
      <c r="D57" s="1" t="s">
        <v>8</v>
      </c>
      <c r="E57" s="1">
        <v>15</v>
      </c>
      <c r="F57" s="1" t="s">
        <v>59</v>
      </c>
      <c r="G57" s="1"/>
      <c r="H57" s="1" t="s">
        <v>13</v>
      </c>
      <c r="I57" s="1">
        <v>0</v>
      </c>
      <c r="J57" s="1">
        <f t="shared" si="1"/>
        <v>0</v>
      </c>
    </row>
    <row r="58" spans="1:10">
      <c r="A58" s="1">
        <v>9</v>
      </c>
      <c r="B58" s="1"/>
      <c r="C58" s="1">
        <v>9</v>
      </c>
      <c r="D58" s="1" t="s">
        <v>8</v>
      </c>
      <c r="E58" s="1">
        <v>1</v>
      </c>
      <c r="F58" s="1" t="s">
        <v>60</v>
      </c>
      <c r="G58" s="1"/>
      <c r="H58" s="1" t="s">
        <v>10</v>
      </c>
      <c r="I58" s="1">
        <v>0</v>
      </c>
      <c r="J58" s="1">
        <f t="shared" si="1"/>
        <v>0</v>
      </c>
    </row>
    <row r="59" spans="1:10" ht="41.4">
      <c r="A59" s="1">
        <v>10</v>
      </c>
      <c r="B59" s="1"/>
      <c r="C59" s="1">
        <v>10</v>
      </c>
      <c r="D59" s="1" t="s">
        <v>8</v>
      </c>
      <c r="E59" s="1">
        <v>15</v>
      </c>
      <c r="F59" s="1" t="s">
        <v>61</v>
      </c>
      <c r="G59" s="1"/>
      <c r="H59" s="1" t="s">
        <v>13</v>
      </c>
      <c r="I59" s="1">
        <v>0</v>
      </c>
      <c r="J59" s="1">
        <f t="shared" si="1"/>
        <v>0</v>
      </c>
    </row>
    <row r="60" spans="1:10" ht="41.4">
      <c r="A60" s="1">
        <v>11</v>
      </c>
      <c r="B60" s="1"/>
      <c r="C60" s="1">
        <v>11</v>
      </c>
      <c r="D60" s="1" t="s">
        <v>8</v>
      </c>
      <c r="E60" s="1">
        <v>250</v>
      </c>
      <c r="F60" s="1" t="s">
        <v>62</v>
      </c>
      <c r="G60" s="1"/>
      <c r="H60" s="1" t="s">
        <v>13</v>
      </c>
      <c r="I60" s="1">
        <v>0</v>
      </c>
      <c r="J60" s="1">
        <f t="shared" si="1"/>
        <v>0</v>
      </c>
    </row>
    <row r="61" spans="1:10" ht="20.399999999999999" customHeight="1">
      <c r="A61" s="1">
        <v>12</v>
      </c>
      <c r="B61" s="1"/>
      <c r="C61" s="1">
        <v>12</v>
      </c>
      <c r="D61" s="1" t="s">
        <v>8</v>
      </c>
      <c r="E61" s="1">
        <v>27</v>
      </c>
      <c r="F61" s="1" t="s">
        <v>63</v>
      </c>
      <c r="G61" s="1"/>
      <c r="H61" s="1" t="s">
        <v>13</v>
      </c>
      <c r="I61" s="1">
        <v>0</v>
      </c>
      <c r="J61" s="1">
        <f t="shared" si="1"/>
        <v>0</v>
      </c>
    </row>
    <row r="62" spans="1:10" ht="29.4" customHeight="1">
      <c r="I62" s="2"/>
      <c r="J62" s="2">
        <f>SUM(J50:J61)</f>
        <v>0</v>
      </c>
    </row>
  </sheetData>
  <mergeCells count="3">
    <mergeCell ref="A1:J1"/>
    <mergeCell ref="A2:J2"/>
    <mergeCell ref="A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fomat roidat</cp:lastModifiedBy>
  <dcterms:created xsi:type="dcterms:W3CDTF">2015-06-05T18:17:20Z</dcterms:created>
  <dcterms:modified xsi:type="dcterms:W3CDTF">2026-05-26T10:55:35Z</dcterms:modified>
</cp:coreProperties>
</file>